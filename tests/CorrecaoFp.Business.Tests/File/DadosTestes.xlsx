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CC - Campus Serra\APLICAÇÃO\t4_NovasFuncionalidades-main\tests\CorrecaoFp.Business.Tests\File\"/>
    </mc:Choice>
  </mc:AlternateContent>
  <xr:revisionPtr revIDLastSave="0" documentId="13_ncr:1_{B7DE0A29-BED0-43B1-9434-2EA337EED767}" xr6:coauthVersionLast="47" xr6:coauthVersionMax="47" xr10:uidLastSave="{00000000-0000-0000-0000-000000000000}"/>
  <bookViews>
    <workbookView xWindow="-108" yWindow="-108" windowWidth="23256" windowHeight="12576" firstSheet="5" activeTab="6" xr2:uid="{6525D4C1-8F7E-4C77-AD73-2AD52F1ED2F5}"/>
  </bookViews>
  <sheets>
    <sheet name="CalcularPotenciaAtiva" sheetId="8" r:id="rId1"/>
    <sheet name="CalcularCk" sheetId="6" r:id="rId2"/>
    <sheet name="QcNecessario" sheetId="1" r:id="rId3"/>
    <sheet name="SomarCapacitores" sheetId="2" r:id="rId4"/>
    <sheet name="RecalcularFp" sheetId="3" r:id="rId5"/>
    <sheet name="OrdenarEstagiosPorPotencia" sheetId="4" r:id="rId6"/>
    <sheet name="VerificarTipoReativoFpCorrigido" sheetId="9" r:id="rId7"/>
    <sheet name="CompensacaoSequencialAscendente" sheetId="7" r:id="rId8"/>
    <sheet name="Planilha2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2" i="9"/>
  <c r="C3" i="8"/>
  <c r="C4" i="8"/>
  <c r="C5" i="8"/>
  <c r="C6" i="8"/>
  <c r="C7" i="8"/>
  <c r="C8" i="8"/>
  <c r="D8" i="8" s="1"/>
  <c r="C9" i="8"/>
  <c r="C10" i="8"/>
  <c r="C11" i="8"/>
  <c r="D3" i="8"/>
  <c r="D4" i="8"/>
  <c r="D5" i="8"/>
  <c r="D6" i="8"/>
  <c r="D7" i="8"/>
  <c r="D9" i="8"/>
  <c r="D10" i="8"/>
  <c r="D11" i="8"/>
  <c r="D2" i="8"/>
  <c r="C2" i="8"/>
  <c r="F2" i="7"/>
  <c r="E2" i="7"/>
  <c r="E3" i="6"/>
  <c r="E2" i="6"/>
  <c r="D3" i="6"/>
  <c r="D2" i="6"/>
  <c r="N5" i="4" l="1" a="1"/>
  <c r="N5" i="4" s="1"/>
  <c r="N6" i="4" a="1"/>
  <c r="N6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3" i="4" a="1"/>
  <c r="N3" i="4" s="1"/>
  <c r="N4" i="4" a="1"/>
  <c r="N4" i="4" s="1"/>
  <c r="N2" i="4" a="1"/>
  <c r="N2" i="4" s="1"/>
  <c r="E3" i="3"/>
  <c r="E2" i="3"/>
  <c r="D3" i="3"/>
  <c r="D2" i="3"/>
  <c r="M4" i="2"/>
  <c r="M5" i="2"/>
  <c r="M6" i="2"/>
  <c r="M3" i="2"/>
  <c r="M2" i="2"/>
  <c r="E3" i="1"/>
  <c r="D3" i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<sst xmlns="http://schemas.openxmlformats.org/spreadsheetml/2006/main" count="82" uniqueCount="56">
  <si>
    <t>FPinicial</t>
  </si>
  <si>
    <t>FPdesejado</t>
  </si>
  <si>
    <t>QcNecessário (arrendodado 2 casas decimais)</t>
  </si>
  <si>
    <t>Potência Ativa (kW)</t>
  </si>
  <si>
    <t>QcNecessario (kVAr)</t>
  </si>
  <si>
    <t>Soma</t>
  </si>
  <si>
    <t>Capacitor_1 (Kw)</t>
  </si>
  <si>
    <t>Capacitor_2 (Kw)</t>
  </si>
  <si>
    <t>Capacitor_3 (Kw)</t>
  </si>
  <si>
    <t>Capacitor_4 (Kw)</t>
  </si>
  <si>
    <t>Capacitor_5 (Kw)</t>
  </si>
  <si>
    <t>Capacitor_6 (Kw)</t>
  </si>
  <si>
    <t>Capacitor_7 (Kw)</t>
  </si>
  <si>
    <t>Capacitor_8 (Kw)</t>
  </si>
  <si>
    <t>Capacitor_9 (Kw)</t>
  </si>
  <si>
    <t>Capacitor_10 (Kw)</t>
  </si>
  <si>
    <t>Capacitor_11 (Kw)</t>
  </si>
  <si>
    <t>Capacitor_12 (Kw)</t>
  </si>
  <si>
    <t>FpFinal</t>
  </si>
  <si>
    <t>FpInicial</t>
  </si>
  <si>
    <t>PotenciaAtiva</t>
  </si>
  <si>
    <t>PotenciaReativaNecessaria</t>
  </si>
  <si>
    <t>FpFinalArredondado</t>
  </si>
  <si>
    <t>OrdenarPor</t>
  </si>
  <si>
    <t>Ascendente</t>
  </si>
  <si>
    <t>Capacitor_1_1 (Kw)</t>
  </si>
  <si>
    <t>Capacitor_2_1 (Kw)</t>
  </si>
  <si>
    <t>Capacitor_3_1 (Kw)</t>
  </si>
  <si>
    <t>Capacitor_4_1 (Kw)</t>
  </si>
  <si>
    <t>Capacitor_5_1 (Kw)</t>
  </si>
  <si>
    <t>Capacitor_6_1 (Kw)</t>
  </si>
  <si>
    <t>Capacitor_7_1 (Kw)</t>
  </si>
  <si>
    <t>Capacitor_8_1 (Kw)</t>
  </si>
  <si>
    <t>Capacitor_9_1 (Kw)</t>
  </si>
  <si>
    <t>Capacitor_10_1 (Kw)</t>
  </si>
  <si>
    <t>Capacitor_11_1 (Kw)</t>
  </si>
  <si>
    <t>Capacitor_12_1 (Kw)</t>
  </si>
  <si>
    <t>Descendente</t>
  </si>
  <si>
    <t>RelacaoTc</t>
  </si>
  <si>
    <t>MenorPotencia (kVAr)</t>
  </si>
  <si>
    <t>TensaoLinha (V)</t>
  </si>
  <si>
    <t>C/k</t>
  </si>
  <si>
    <t>C/k (arrendodado 3 casas decimais)</t>
  </si>
  <si>
    <t>Data Início</t>
  </si>
  <si>
    <t>Data Fim</t>
  </si>
  <si>
    <t>Potência Reativa (kVAr)</t>
  </si>
  <si>
    <t>Potência Aparente (kVA)</t>
  </si>
  <si>
    <t>FP</t>
  </si>
  <si>
    <t>Tipo de FP</t>
  </si>
  <si>
    <t>FpDesejado</t>
  </si>
  <si>
    <t>Potência Ativa (kW) (arrendodado 2 casas decimais)</t>
  </si>
  <si>
    <t>Cap</t>
  </si>
  <si>
    <t>Ind</t>
  </si>
  <si>
    <t>TipoFp</t>
  </si>
  <si>
    <t>SomaReativoEstagiosUtilizados</t>
  </si>
  <si>
    <t>TipoFpCorrigido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</si>
</sst>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6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6A25-B1FA-4932-9DEE-FE491F05A104}">
  <dimension ref="A1:D11"/>
  <sheetViews>
    <sheetView workbookViewId="0"/>
  </sheetViews>
  <sheetFormatPr defaultColWidth="9.109375" defaultRowHeight="14.4" x14ac:dyDescent="0.3"/>
  <cols>
    <col min="1" max="1" width="24.5546875" style="2" bestFit="1" customWidth="1"/>
    <col min="2" max="2" width="25.6640625" style="2" bestFit="1" customWidth="1"/>
    <col min="3" max="3" width="20.88671875" style="2" bestFit="1" customWidth="1"/>
    <col min="4" max="4" width="53.109375" style="2" bestFit="1" customWidth="1"/>
    <col min="5" max="16384" width="9.109375" style="2"/>
  </cols>
  <sheetData>
    <row r="1" spans="1:4" ht="15.6" x14ac:dyDescent="0.3">
      <c r="A1" s="10" t="s">
        <v>45</v>
      </c>
      <c r="B1" s="10" t="s">
        <v>46</v>
      </c>
      <c r="C1" s="10" t="s">
        <v>3</v>
      </c>
      <c r="D1" s="10" t="s">
        <v>50</v>
      </c>
    </row>
    <row r="2" spans="1:4" x14ac:dyDescent="0.3">
      <c r="A2" s="7">
        <v>-4.1292200000000001</v>
      </c>
      <c r="B2" s="8">
        <v>8.9656599999999997</v>
      </c>
      <c r="C2" s="8">
        <f>SQRT((B2^2)-(A2^2))</f>
        <v>7.9581782731476931</v>
      </c>
      <c r="D2" s="2">
        <f>ROUND(C2,2)</f>
        <v>7.96</v>
      </c>
    </row>
    <row r="3" spans="1:4" x14ac:dyDescent="0.3">
      <c r="A3" s="7">
        <v>-2.39133</v>
      </c>
      <c r="B3" s="8">
        <v>18.987279999999998</v>
      </c>
      <c r="C3" s="8">
        <f t="shared" ref="C3:C11" si="0">SQRT((B3^2)-(A3^2))</f>
        <v>18.836091490261452</v>
      </c>
      <c r="D3" s="2">
        <f t="shared" ref="D3:D11" si="1">ROUND(C3,2)</f>
        <v>18.84</v>
      </c>
    </row>
    <row r="4" spans="1:4" x14ac:dyDescent="0.3">
      <c r="A4" s="7">
        <v>-3.3763999999999998</v>
      </c>
      <c r="B4" s="8">
        <v>18.681789999999999</v>
      </c>
      <c r="C4" s="8">
        <f t="shared" si="0"/>
        <v>18.374144895589019</v>
      </c>
      <c r="D4" s="2">
        <f t="shared" si="1"/>
        <v>18.37</v>
      </c>
    </row>
    <row r="5" spans="1:4" x14ac:dyDescent="0.3">
      <c r="A5" s="7">
        <v>-2.0621900000000002</v>
      </c>
      <c r="B5" s="8">
        <v>18.684990000000003</v>
      </c>
      <c r="C5" s="8">
        <f t="shared" si="0"/>
        <v>18.570843376217464</v>
      </c>
      <c r="D5" s="2">
        <f t="shared" si="1"/>
        <v>18.57</v>
      </c>
    </row>
    <row r="6" spans="1:4" x14ac:dyDescent="0.3">
      <c r="A6" s="7">
        <v>-1.4521500000000001</v>
      </c>
      <c r="B6" s="8">
        <v>18.437580000000001</v>
      </c>
      <c r="C6" s="8">
        <f t="shared" si="0"/>
        <v>18.380305128966167</v>
      </c>
      <c r="D6" s="2">
        <f t="shared" si="1"/>
        <v>18.38</v>
      </c>
    </row>
    <row r="7" spans="1:4" x14ac:dyDescent="0.3">
      <c r="A7" s="7">
        <v>-2.4022299999999999</v>
      </c>
      <c r="B7" s="8">
        <v>19.093529999999998</v>
      </c>
      <c r="C7" s="8">
        <f t="shared" si="0"/>
        <v>18.941810338191011</v>
      </c>
      <c r="D7" s="2">
        <f t="shared" si="1"/>
        <v>18.940000000000001</v>
      </c>
    </row>
    <row r="8" spans="1:4" x14ac:dyDescent="0.3">
      <c r="A8" s="7">
        <v>-2.1690299999999998</v>
      </c>
      <c r="B8" s="8">
        <v>18.58906</v>
      </c>
      <c r="C8" s="8">
        <f t="shared" si="0"/>
        <v>18.462081695808301</v>
      </c>
      <c r="D8" s="2">
        <f t="shared" si="1"/>
        <v>18.46</v>
      </c>
    </row>
    <row r="9" spans="1:4" x14ac:dyDescent="0.3">
      <c r="A9" s="7">
        <v>-3.08758</v>
      </c>
      <c r="B9" s="8">
        <v>19.038799999999998</v>
      </c>
      <c r="C9" s="8">
        <f t="shared" si="0"/>
        <v>18.786770749216053</v>
      </c>
      <c r="D9" s="2">
        <f t="shared" si="1"/>
        <v>18.79</v>
      </c>
    </row>
    <row r="10" spans="1:4" x14ac:dyDescent="0.3">
      <c r="A10" s="7">
        <v>-1.9517100000000001</v>
      </c>
      <c r="B10" s="8">
        <v>19.293849999999999</v>
      </c>
      <c r="C10" s="8">
        <f t="shared" si="0"/>
        <v>19.194881502588132</v>
      </c>
      <c r="D10" s="2">
        <f t="shared" si="1"/>
        <v>19.190000000000001</v>
      </c>
    </row>
    <row r="11" spans="1:4" x14ac:dyDescent="0.3">
      <c r="A11" s="7">
        <v>-2.3216600000000001</v>
      </c>
      <c r="B11" s="8">
        <v>19.287610000000001</v>
      </c>
      <c r="C11" s="8">
        <f t="shared" si="0"/>
        <v>19.147370429291332</v>
      </c>
      <c r="D11" s="2">
        <f t="shared" si="1"/>
        <v>19.149999999999999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0282-5A98-4065-8A75-D269E0FFFA5D}">
  <dimension ref="A1:I20"/>
  <sheetViews>
    <sheetView workbookViewId="0"/>
  </sheetViews>
  <sheetFormatPr defaultRowHeight="14.4" x14ac:dyDescent="0.3"/>
  <cols>
    <col min="1" max="1" width="21" bestFit="1" customWidth="1"/>
    <col min="2" max="2" width="15.33203125" bestFit="1" customWidth="1"/>
    <col min="3" max="3" width="9.6640625" bestFit="1" customWidth="1"/>
    <col min="4" max="4" width="21.88671875" customWidth="1"/>
    <col min="5" max="5" width="42.109375" bestFit="1" customWidth="1"/>
  </cols>
  <sheetData>
    <row r="1" spans="1:9" x14ac:dyDescent="0.3">
      <c r="A1" s="12" t="s">
        <v>39</v>
      </c>
      <c r="B1" s="12" t="s">
        <v>40</v>
      </c>
      <c r="C1" s="12" t="s">
        <v>38</v>
      </c>
      <c r="D1" s="12" t="s">
        <v>41</v>
      </c>
      <c r="E1" s="12" t="s">
        <v>42</v>
      </c>
      <c r="F1" s="2"/>
      <c r="G1" s="2"/>
      <c r="H1" s="2"/>
      <c r="I1" s="2"/>
    </row>
    <row r="2" spans="1:9" x14ac:dyDescent="0.3">
      <c r="A2" s="2">
        <v>0.5</v>
      </c>
      <c r="B2" s="2">
        <v>220</v>
      </c>
      <c r="C2" s="2">
        <v>800</v>
      </c>
      <c r="D2" s="4">
        <f>(A2*1000)/(B2*C2*SQRT(3))</f>
        <v>1.6401996283796187E-3</v>
      </c>
      <c r="E2" s="4">
        <f>ROUND(D2,3)</f>
        <v>2E-3</v>
      </c>
      <c r="F2" s="2"/>
      <c r="G2" s="2"/>
      <c r="H2" s="2"/>
      <c r="I2" s="2"/>
    </row>
    <row r="3" spans="1:9" x14ac:dyDescent="0.3">
      <c r="A3" s="2">
        <v>60.1</v>
      </c>
      <c r="B3" s="2">
        <v>500</v>
      </c>
      <c r="C3" s="2">
        <v>100</v>
      </c>
      <c r="D3" s="4">
        <f>(A3*1000)/(B3*C3*SQRT(3))</f>
        <v>0.69397502356593022</v>
      </c>
      <c r="E3" s="4">
        <f>ROUND(D3,3)</f>
        <v>0.69399999999999995</v>
      </c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5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D341-CA82-4D68-A71C-A231590020B9}">
  <dimension ref="A1:E3"/>
  <sheetViews>
    <sheetView workbookViewId="0"/>
  </sheetViews>
  <sheetFormatPr defaultRowHeight="14.4" x14ac:dyDescent="0.3"/>
  <cols>
    <col min="1" max="1" width="17.88671875" style="1" bestFit="1" customWidth="1"/>
    <col min="2" max="2" width="8.44140625" style="1" bestFit="1" customWidth="1"/>
    <col min="3" max="3" width="11.33203125" style="1" bestFit="1" customWidth="1"/>
    <col min="4" max="4" width="19.44140625" style="1" bestFit="1" customWidth="1"/>
    <col min="5" max="5" width="42.109375" style="1" bestFit="1" customWidth="1"/>
  </cols>
  <sheetData>
    <row r="1" spans="1:5" x14ac:dyDescent="0.3">
      <c r="A1" s="12" t="s">
        <v>3</v>
      </c>
      <c r="B1" s="12" t="s">
        <v>0</v>
      </c>
      <c r="C1" s="12" t="s">
        <v>1</v>
      </c>
      <c r="D1" s="12" t="s">
        <v>4</v>
      </c>
      <c r="E1" s="12" t="s">
        <v>2</v>
      </c>
    </row>
    <row r="2" spans="1:5" x14ac:dyDescent="0.3">
      <c r="A2" s="2">
        <v>1239</v>
      </c>
      <c r="B2" s="2">
        <v>0.8</v>
      </c>
      <c r="C2" s="2">
        <v>0.92</v>
      </c>
      <c r="D2" s="2">
        <f>A2*(TAN(ACOS(B2))-TAN(ACOS(C2)))</f>
        <v>401.43821020724226</v>
      </c>
      <c r="E2" s="2">
        <f>ROUND(D2,2)</f>
        <v>401.44</v>
      </c>
    </row>
    <row r="3" spans="1:5" x14ac:dyDescent="0.3">
      <c r="A3" s="2">
        <v>7.96</v>
      </c>
      <c r="B3" s="2">
        <v>0.89</v>
      </c>
      <c r="C3" s="2">
        <v>0.92</v>
      </c>
      <c r="D3" s="2">
        <f>A3*(TAN(ACOS(B3))-TAN(ACOS(C3)))</f>
        <v>0.68708316121050039</v>
      </c>
      <c r="E3" s="2">
        <f>ROUND(D3,2)</f>
        <v>0.69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2083-CBDF-48A1-A571-7BEC47C96B61}">
  <dimension ref="A1:T6"/>
  <sheetViews>
    <sheetView workbookViewId="0"/>
  </sheetViews>
  <sheetFormatPr defaultRowHeight="14.4" x14ac:dyDescent="0.3"/>
  <cols>
    <col min="1" max="9" width="16" style="1" bestFit="1" customWidth="1"/>
    <col min="10" max="12" width="17" style="1" bestFit="1" customWidth="1"/>
    <col min="13" max="13" width="9.33203125" style="1" customWidth="1"/>
    <col min="14" max="16" width="11.33203125" style="1" bestFit="1" customWidth="1"/>
    <col min="17" max="20" width="9.109375" style="1"/>
  </cols>
  <sheetData>
    <row r="1" spans="1:13" x14ac:dyDescent="0.3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15</v>
      </c>
      <c r="K1" s="12" t="s">
        <v>16</v>
      </c>
      <c r="L1" s="12" t="s">
        <v>17</v>
      </c>
      <c r="M1" s="12" t="s">
        <v>5</v>
      </c>
    </row>
    <row r="2" spans="1:13" x14ac:dyDescent="0.3">
      <c r="A2" s="2">
        <v>5</v>
      </c>
      <c r="B2" s="2">
        <v>15</v>
      </c>
      <c r="C2" s="2">
        <v>20</v>
      </c>
      <c r="D2" s="2">
        <v>20</v>
      </c>
      <c r="E2" s="2">
        <v>20</v>
      </c>
      <c r="F2" s="2">
        <v>20</v>
      </c>
      <c r="G2" s="2">
        <v>20</v>
      </c>
      <c r="H2" s="2">
        <v>30</v>
      </c>
      <c r="I2" s="2">
        <v>30</v>
      </c>
      <c r="J2" s="2">
        <v>30</v>
      </c>
      <c r="K2" s="2">
        <v>30</v>
      </c>
      <c r="L2" s="2">
        <v>30</v>
      </c>
      <c r="M2" s="2">
        <f>SUM(A2:L2)</f>
        <v>270</v>
      </c>
    </row>
    <row r="3" spans="1:13" x14ac:dyDescent="0.3">
      <c r="A3" s="2">
        <v>5</v>
      </c>
      <c r="B3" s="2">
        <v>15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30</v>
      </c>
      <c r="I3" s="2">
        <v>30</v>
      </c>
      <c r="J3" s="2">
        <v>30</v>
      </c>
      <c r="K3" s="2">
        <v>1</v>
      </c>
      <c r="L3" s="2">
        <v>2.5</v>
      </c>
      <c r="M3" s="2">
        <f>SUM(A3:L3)</f>
        <v>213.5</v>
      </c>
    </row>
    <row r="4" spans="1:13" x14ac:dyDescent="0.3">
      <c r="A4" s="2">
        <v>5</v>
      </c>
      <c r="B4" s="2">
        <v>15</v>
      </c>
      <c r="C4" s="2">
        <v>20</v>
      </c>
      <c r="D4" s="2">
        <v>20</v>
      </c>
      <c r="E4" s="2">
        <v>20</v>
      </c>
      <c r="F4" s="2">
        <v>20</v>
      </c>
      <c r="G4" s="2">
        <v>20</v>
      </c>
      <c r="H4" s="2">
        <v>30</v>
      </c>
      <c r="I4" s="2">
        <v>30</v>
      </c>
      <c r="J4" s="2">
        <v>0.5</v>
      </c>
      <c r="K4" s="2">
        <v>1</v>
      </c>
      <c r="L4" s="2">
        <v>2.5</v>
      </c>
      <c r="M4" s="2">
        <f t="shared" ref="M4:M6" si="0">SUM(A4:L4)</f>
        <v>184</v>
      </c>
    </row>
    <row r="5" spans="1:13" x14ac:dyDescent="0.3">
      <c r="A5" s="2">
        <v>5</v>
      </c>
      <c r="B5" s="2">
        <v>15</v>
      </c>
      <c r="C5" s="2">
        <v>20</v>
      </c>
      <c r="D5" s="2">
        <v>20</v>
      </c>
      <c r="E5" s="2">
        <v>20</v>
      </c>
      <c r="F5" s="2">
        <v>20</v>
      </c>
      <c r="G5" s="2">
        <v>2</v>
      </c>
      <c r="H5" s="2">
        <v>1.5</v>
      </c>
      <c r="I5" s="2">
        <v>30</v>
      </c>
      <c r="J5" s="2">
        <v>30</v>
      </c>
      <c r="K5" s="2">
        <v>30</v>
      </c>
      <c r="L5" s="2">
        <v>30</v>
      </c>
      <c r="M5" s="2">
        <f t="shared" si="0"/>
        <v>223.5</v>
      </c>
    </row>
    <row r="6" spans="1:13" x14ac:dyDescent="0.3">
      <c r="A6" s="2">
        <v>5</v>
      </c>
      <c r="B6" s="2">
        <v>15</v>
      </c>
      <c r="C6" s="2">
        <v>20</v>
      </c>
      <c r="D6" s="2">
        <v>20</v>
      </c>
      <c r="E6" s="2">
        <v>20</v>
      </c>
      <c r="F6" s="2">
        <v>20</v>
      </c>
      <c r="G6" s="2">
        <v>20</v>
      </c>
      <c r="H6" s="2">
        <v>2</v>
      </c>
      <c r="I6" s="2">
        <v>30</v>
      </c>
      <c r="J6" s="2">
        <v>30</v>
      </c>
      <c r="K6" s="2">
        <v>30</v>
      </c>
      <c r="L6" s="2">
        <v>30</v>
      </c>
      <c r="M6" s="2">
        <f t="shared" si="0"/>
        <v>242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8581-C414-449E-BCFB-6110C651F38B}">
  <dimension ref="A1:O13"/>
  <sheetViews>
    <sheetView zoomScale="115" zoomScaleNormal="115" workbookViewId="0"/>
  </sheetViews>
  <sheetFormatPr defaultRowHeight="14.4" x14ac:dyDescent="0.3"/>
  <cols>
    <col min="1" max="1" width="13.44140625" bestFit="1" customWidth="1"/>
    <col min="2" max="2" width="25.33203125" bestFit="1" customWidth="1"/>
    <col min="3" max="3" width="8.44140625" bestFit="1" customWidth="1"/>
    <col min="4" max="4" width="11.33203125" bestFit="1" customWidth="1"/>
    <col min="5" max="5" width="19.44140625" bestFit="1" customWidth="1"/>
    <col min="14" max="14" width="6" customWidth="1"/>
    <col min="15" max="15" width="10.5546875" bestFit="1" customWidth="1"/>
  </cols>
  <sheetData>
    <row r="1" spans="1:15" x14ac:dyDescent="0.3">
      <c r="A1" s="12" t="s">
        <v>20</v>
      </c>
      <c r="B1" s="12" t="s">
        <v>21</v>
      </c>
      <c r="C1" s="12" t="s">
        <v>19</v>
      </c>
      <c r="D1" s="12" t="s">
        <v>18</v>
      </c>
      <c r="E1" s="12" t="s">
        <v>22</v>
      </c>
    </row>
    <row r="2" spans="1:15" x14ac:dyDescent="0.3">
      <c r="A2" s="2">
        <v>8177.8</v>
      </c>
      <c r="B2" s="2">
        <v>3728.9</v>
      </c>
      <c r="C2" s="2">
        <v>0.749</v>
      </c>
      <c r="D2" s="2">
        <f>COS(ATAN((A2*TAN(ACOS(C2))-B2)/A2))</f>
        <v>0.9191262839051344</v>
      </c>
      <c r="E2" s="2">
        <f>ROUND(D2,2)</f>
        <v>0.92</v>
      </c>
    </row>
    <row r="3" spans="1:15" x14ac:dyDescent="0.3">
      <c r="A3" s="2">
        <v>80</v>
      </c>
      <c r="B3" s="2">
        <v>21.3</v>
      </c>
      <c r="C3" s="2">
        <v>0.8</v>
      </c>
      <c r="D3" s="2">
        <f>COS(ATAN((A3*TAN(ACOS(C3))-B3)/A3))</f>
        <v>0.90020194216615235</v>
      </c>
      <c r="E3" s="2">
        <f>ROUND(D3,2)</f>
        <v>0.9</v>
      </c>
    </row>
    <row r="6" spans="1:15" ht="15.6" x14ac:dyDescent="0.3">
      <c r="O6" s="3"/>
    </row>
    <row r="12" spans="1:15" ht="15.6" x14ac:dyDescent="0.3">
      <c r="N12" s="3"/>
    </row>
    <row r="13" spans="1:15" ht="15.6" x14ac:dyDescent="0.3">
      <c r="N13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FD0F-A7D1-40C7-B6EB-E82E1FADC9C1}">
  <dimension ref="A1:Y11"/>
  <sheetViews>
    <sheetView workbookViewId="0"/>
  </sheetViews>
  <sheetFormatPr defaultRowHeight="14.4" x14ac:dyDescent="0.3"/>
  <cols>
    <col min="1" max="9" width="16" bestFit="1" customWidth="1"/>
    <col min="10" max="12" width="17" bestFit="1" customWidth="1"/>
    <col min="13" max="13" width="12.6640625" bestFit="1" customWidth="1"/>
    <col min="14" max="22" width="18.109375" bestFit="1" customWidth="1"/>
    <col min="23" max="25" width="19.109375" bestFit="1" customWidth="1"/>
  </cols>
  <sheetData>
    <row r="1" spans="1:25" x14ac:dyDescent="0.3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15</v>
      </c>
      <c r="K1" s="12" t="s">
        <v>16</v>
      </c>
      <c r="L1" s="12" t="s">
        <v>17</v>
      </c>
      <c r="M1" s="11" t="s">
        <v>23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</row>
    <row r="2" spans="1:25" x14ac:dyDescent="0.3">
      <c r="A2" s="2">
        <v>5</v>
      </c>
      <c r="B2" s="2">
        <v>15</v>
      </c>
      <c r="C2" s="2">
        <v>20</v>
      </c>
      <c r="D2" s="2">
        <v>20</v>
      </c>
      <c r="E2" s="2">
        <v>20</v>
      </c>
      <c r="F2" s="2">
        <v>20</v>
      </c>
      <c r="G2" s="2">
        <v>20</v>
      </c>
      <c r="H2" s="2">
        <v>30</v>
      </c>
      <c r="I2" s="2">
        <v>30</v>
      </c>
      <c r="J2" s="2">
        <v>30</v>
      </c>
      <c r="K2" s="2">
        <v>30</v>
      </c>
      <c r="L2" s="2">
        <v>30</v>
      </c>
      <c r="M2" t="s">
        <v>24</v>
      </c>
      <c r="N2" cm="1">
        <f t="array" ref="N2:Y2">IF(M2="Ascendente",_xlfn._xlws.SORT(A2:L2,1,1,TRUE),_xlfn._xlws.SORT(A2:L2,1,-1,TRUE))</f>
        <v>5</v>
      </c>
      <c r="O2">
        <v>15</v>
      </c>
      <c r="P2">
        <v>20</v>
      </c>
      <c r="Q2">
        <v>20</v>
      </c>
      <c r="R2">
        <v>20</v>
      </c>
      <c r="S2">
        <v>20</v>
      </c>
      <c r="T2">
        <v>20</v>
      </c>
      <c r="U2">
        <v>30</v>
      </c>
      <c r="V2">
        <v>30</v>
      </c>
      <c r="W2">
        <v>30</v>
      </c>
      <c r="X2">
        <v>30</v>
      </c>
      <c r="Y2">
        <v>30</v>
      </c>
    </row>
    <row r="3" spans="1:25" x14ac:dyDescent="0.3">
      <c r="A3" s="2">
        <v>5</v>
      </c>
      <c r="B3" s="2">
        <v>15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30</v>
      </c>
      <c r="I3" s="2">
        <v>30</v>
      </c>
      <c r="J3" s="2">
        <v>30</v>
      </c>
      <c r="K3" s="2">
        <v>1</v>
      </c>
      <c r="L3" s="2">
        <v>2.5</v>
      </c>
      <c r="M3" t="s">
        <v>24</v>
      </c>
      <c r="N3" cm="1">
        <f t="array" ref="N3:Y3">IF(M3="Ascendente",_xlfn._xlws.SORT(A3:L3,1,1,TRUE),_xlfn._xlws.SORT(A3:L3,1,-1,TRUE))</f>
        <v>1</v>
      </c>
      <c r="O3">
        <v>2.5</v>
      </c>
      <c r="P3">
        <v>5</v>
      </c>
      <c r="Q3">
        <v>15</v>
      </c>
      <c r="R3">
        <v>20</v>
      </c>
      <c r="S3">
        <v>20</v>
      </c>
      <c r="T3">
        <v>20</v>
      </c>
      <c r="U3">
        <v>20</v>
      </c>
      <c r="V3">
        <v>20</v>
      </c>
      <c r="W3">
        <v>30</v>
      </c>
      <c r="X3">
        <v>30</v>
      </c>
      <c r="Y3">
        <v>30</v>
      </c>
    </row>
    <row r="4" spans="1:25" x14ac:dyDescent="0.3">
      <c r="A4" s="2">
        <v>5</v>
      </c>
      <c r="B4" s="2">
        <v>15</v>
      </c>
      <c r="C4" s="2">
        <v>20</v>
      </c>
      <c r="D4" s="2">
        <v>20</v>
      </c>
      <c r="E4" s="2">
        <v>20</v>
      </c>
      <c r="F4" s="2">
        <v>20</v>
      </c>
      <c r="G4" s="2">
        <v>20</v>
      </c>
      <c r="H4" s="2">
        <v>30</v>
      </c>
      <c r="I4" s="2">
        <v>30</v>
      </c>
      <c r="J4" s="2">
        <v>0.5</v>
      </c>
      <c r="K4" s="2">
        <v>1</v>
      </c>
      <c r="L4" s="2">
        <v>2.5</v>
      </c>
      <c r="M4" t="s">
        <v>24</v>
      </c>
      <c r="N4" cm="1">
        <f t="array" ref="N4:Y4">IF(M4="Ascendente",_xlfn._xlws.SORT(A4:L4,1,1,TRUE),_xlfn._xlws.SORT(A4:L4,1,-1,TRUE))</f>
        <v>0.5</v>
      </c>
      <c r="O4">
        <v>1</v>
      </c>
      <c r="P4">
        <v>2.5</v>
      </c>
      <c r="Q4">
        <v>5</v>
      </c>
      <c r="R4">
        <v>15</v>
      </c>
      <c r="S4">
        <v>20</v>
      </c>
      <c r="T4">
        <v>20</v>
      </c>
      <c r="U4">
        <v>20</v>
      </c>
      <c r="V4">
        <v>20</v>
      </c>
      <c r="W4">
        <v>20</v>
      </c>
      <c r="X4">
        <v>30</v>
      </c>
      <c r="Y4">
        <v>30</v>
      </c>
    </row>
    <row r="5" spans="1:25" x14ac:dyDescent="0.3">
      <c r="A5" s="2">
        <v>5</v>
      </c>
      <c r="B5" s="2">
        <v>15</v>
      </c>
      <c r="C5" s="2">
        <v>20</v>
      </c>
      <c r="D5" s="2">
        <v>20</v>
      </c>
      <c r="E5" s="2">
        <v>20</v>
      </c>
      <c r="F5" s="2">
        <v>20</v>
      </c>
      <c r="G5" s="2">
        <v>2</v>
      </c>
      <c r="H5" s="2">
        <v>1.5</v>
      </c>
      <c r="I5" s="2">
        <v>30</v>
      </c>
      <c r="J5" s="2">
        <v>30</v>
      </c>
      <c r="K5" s="2">
        <v>30</v>
      </c>
      <c r="L5" s="2">
        <v>30</v>
      </c>
      <c r="M5" t="s">
        <v>24</v>
      </c>
      <c r="N5" cm="1">
        <f t="array" ref="N5:Y5">IF(M5="Ascendente",_xlfn._xlws.SORT(A5:L5,1,1,TRUE),_xlfn._xlws.SORT(A5:L5,1,-1,TRUE))</f>
        <v>1.5</v>
      </c>
      <c r="O5">
        <v>2</v>
      </c>
      <c r="P5">
        <v>5</v>
      </c>
      <c r="Q5">
        <v>15</v>
      </c>
      <c r="R5">
        <v>20</v>
      </c>
      <c r="S5">
        <v>20</v>
      </c>
      <c r="T5">
        <v>20</v>
      </c>
      <c r="U5">
        <v>20</v>
      </c>
      <c r="V5">
        <v>30</v>
      </c>
      <c r="W5">
        <v>30</v>
      </c>
      <c r="X5">
        <v>30</v>
      </c>
      <c r="Y5">
        <v>30</v>
      </c>
    </row>
    <row r="6" spans="1:25" x14ac:dyDescent="0.3">
      <c r="A6" s="2">
        <v>5</v>
      </c>
      <c r="B6" s="2">
        <v>15</v>
      </c>
      <c r="C6" s="2">
        <v>20</v>
      </c>
      <c r="D6" s="2">
        <v>20</v>
      </c>
      <c r="E6" s="2">
        <v>20</v>
      </c>
      <c r="F6" s="2">
        <v>20</v>
      </c>
      <c r="G6" s="2">
        <v>20</v>
      </c>
      <c r="H6" s="2">
        <v>2</v>
      </c>
      <c r="I6" s="2">
        <v>30</v>
      </c>
      <c r="J6" s="2">
        <v>30</v>
      </c>
      <c r="K6" s="2">
        <v>30</v>
      </c>
      <c r="L6" s="2">
        <v>30</v>
      </c>
      <c r="M6" t="s">
        <v>24</v>
      </c>
      <c r="N6" cm="1">
        <f t="array" ref="N6:Y6">IF(M6="Ascendente",_xlfn._xlws.SORT(A6:L6,1,1,TRUE),_xlfn._xlws.SORT(A6:L6,1,-1,TRUE))</f>
        <v>2</v>
      </c>
      <c r="O6">
        <v>5</v>
      </c>
      <c r="P6">
        <v>15</v>
      </c>
      <c r="Q6">
        <v>20</v>
      </c>
      <c r="R6">
        <v>20</v>
      </c>
      <c r="S6">
        <v>20</v>
      </c>
      <c r="T6">
        <v>20</v>
      </c>
      <c r="U6">
        <v>20</v>
      </c>
      <c r="V6">
        <v>30</v>
      </c>
      <c r="W6">
        <v>30</v>
      </c>
      <c r="X6">
        <v>30</v>
      </c>
      <c r="Y6">
        <v>30</v>
      </c>
    </row>
    <row r="7" spans="1:25" x14ac:dyDescent="0.3">
      <c r="A7" s="2">
        <v>5</v>
      </c>
      <c r="B7" s="2">
        <v>15</v>
      </c>
      <c r="C7" s="2">
        <v>20</v>
      </c>
      <c r="D7" s="2">
        <v>20</v>
      </c>
      <c r="E7" s="2">
        <v>20</v>
      </c>
      <c r="F7" s="2">
        <v>20</v>
      </c>
      <c r="G7" s="2">
        <v>20</v>
      </c>
      <c r="H7" s="2">
        <v>30</v>
      </c>
      <c r="I7" s="2">
        <v>30</v>
      </c>
      <c r="J7" s="2">
        <v>30</v>
      </c>
      <c r="K7" s="2">
        <v>30</v>
      </c>
      <c r="L7" s="2">
        <v>30</v>
      </c>
      <c r="M7" t="s">
        <v>37</v>
      </c>
      <c r="N7" cm="1">
        <f t="array" ref="N7:Y7">IF(M7="Ascendente",_xlfn._xlws.SORT(A7:L7,1,1,TRUE),_xlfn._xlws.SORT(A7:L7,1,-1,TRUE))</f>
        <v>30</v>
      </c>
      <c r="O7">
        <v>30</v>
      </c>
      <c r="P7">
        <v>30</v>
      </c>
      <c r="Q7">
        <v>30</v>
      </c>
      <c r="R7">
        <v>30</v>
      </c>
      <c r="S7">
        <v>20</v>
      </c>
      <c r="T7">
        <v>20</v>
      </c>
      <c r="U7">
        <v>20</v>
      </c>
      <c r="V7">
        <v>20</v>
      </c>
      <c r="W7">
        <v>20</v>
      </c>
      <c r="X7">
        <v>15</v>
      </c>
      <c r="Y7">
        <v>5</v>
      </c>
    </row>
    <row r="8" spans="1:25" x14ac:dyDescent="0.3">
      <c r="A8" s="2">
        <v>5</v>
      </c>
      <c r="B8" s="2">
        <v>15</v>
      </c>
      <c r="C8" s="2">
        <v>20</v>
      </c>
      <c r="D8" s="2">
        <v>20</v>
      </c>
      <c r="E8" s="2">
        <v>20</v>
      </c>
      <c r="F8" s="2">
        <v>20</v>
      </c>
      <c r="G8" s="2">
        <v>20</v>
      </c>
      <c r="H8" s="2">
        <v>30</v>
      </c>
      <c r="I8" s="2">
        <v>30</v>
      </c>
      <c r="J8" s="2">
        <v>30</v>
      </c>
      <c r="K8" s="2">
        <v>1</v>
      </c>
      <c r="L8" s="2">
        <v>2.5</v>
      </c>
      <c r="M8" t="s">
        <v>37</v>
      </c>
      <c r="N8" cm="1">
        <f t="array" ref="N8:Y8">IF(M8="Ascendente",_xlfn._xlws.SORT(A8:L8,1,1,TRUE),_xlfn._xlws.SORT(A8:L8,1,-1,TRUE))</f>
        <v>30</v>
      </c>
      <c r="O8">
        <v>30</v>
      </c>
      <c r="P8">
        <v>30</v>
      </c>
      <c r="Q8">
        <v>20</v>
      </c>
      <c r="R8">
        <v>20</v>
      </c>
      <c r="S8">
        <v>20</v>
      </c>
      <c r="T8">
        <v>20</v>
      </c>
      <c r="U8">
        <v>20</v>
      </c>
      <c r="V8">
        <v>15</v>
      </c>
      <c r="W8">
        <v>5</v>
      </c>
      <c r="X8">
        <v>2.5</v>
      </c>
      <c r="Y8">
        <v>1</v>
      </c>
    </row>
    <row r="9" spans="1:25" x14ac:dyDescent="0.3">
      <c r="A9" s="2">
        <v>5</v>
      </c>
      <c r="B9" s="2">
        <v>15</v>
      </c>
      <c r="C9" s="2">
        <v>20</v>
      </c>
      <c r="D9" s="2">
        <v>20</v>
      </c>
      <c r="E9" s="2">
        <v>20</v>
      </c>
      <c r="F9" s="2">
        <v>20</v>
      </c>
      <c r="G9" s="2">
        <v>20</v>
      </c>
      <c r="H9" s="2">
        <v>30</v>
      </c>
      <c r="I9" s="2">
        <v>30</v>
      </c>
      <c r="J9" s="2">
        <v>0.5</v>
      </c>
      <c r="K9" s="2">
        <v>1</v>
      </c>
      <c r="L9" s="2">
        <v>2.5</v>
      </c>
      <c r="M9" t="s">
        <v>37</v>
      </c>
      <c r="N9" cm="1">
        <f t="array" ref="N9:Y9">IF(M9="Ascendente",_xlfn._xlws.SORT(A9:L9,1,1,TRUE),_xlfn._xlws.SORT(A9:L9,1,-1,TRUE))</f>
        <v>30</v>
      </c>
      <c r="O9">
        <v>30</v>
      </c>
      <c r="P9">
        <v>20</v>
      </c>
      <c r="Q9">
        <v>20</v>
      </c>
      <c r="R9">
        <v>20</v>
      </c>
      <c r="S9">
        <v>20</v>
      </c>
      <c r="T9">
        <v>20</v>
      </c>
      <c r="U9">
        <v>15</v>
      </c>
      <c r="V9">
        <v>5</v>
      </c>
      <c r="W9">
        <v>2.5</v>
      </c>
      <c r="X9">
        <v>1</v>
      </c>
      <c r="Y9">
        <v>0.5</v>
      </c>
    </row>
    <row r="10" spans="1:25" x14ac:dyDescent="0.3">
      <c r="A10" s="2">
        <v>5</v>
      </c>
      <c r="B10" s="2">
        <v>15</v>
      </c>
      <c r="C10" s="2">
        <v>20</v>
      </c>
      <c r="D10" s="2">
        <v>20</v>
      </c>
      <c r="E10" s="2">
        <v>20</v>
      </c>
      <c r="F10" s="2">
        <v>20</v>
      </c>
      <c r="G10" s="2">
        <v>2</v>
      </c>
      <c r="H10" s="2">
        <v>1.5</v>
      </c>
      <c r="I10" s="2">
        <v>30</v>
      </c>
      <c r="J10" s="2">
        <v>30</v>
      </c>
      <c r="K10" s="2">
        <v>30</v>
      </c>
      <c r="L10" s="2">
        <v>30</v>
      </c>
      <c r="M10" t="s">
        <v>37</v>
      </c>
      <c r="N10" cm="1">
        <f t="array" ref="N10:Y10">IF(M10="Ascendente",_xlfn._xlws.SORT(A10:L10,1,1,TRUE),_xlfn._xlws.SORT(A10:L10,1,-1,TRUE))</f>
        <v>30</v>
      </c>
      <c r="O10">
        <v>30</v>
      </c>
      <c r="P10">
        <v>30</v>
      </c>
      <c r="Q10">
        <v>30</v>
      </c>
      <c r="R10">
        <v>20</v>
      </c>
      <c r="S10">
        <v>20</v>
      </c>
      <c r="T10">
        <v>20</v>
      </c>
      <c r="U10">
        <v>20</v>
      </c>
      <c r="V10">
        <v>15</v>
      </c>
      <c r="W10">
        <v>5</v>
      </c>
      <c r="X10">
        <v>2</v>
      </c>
      <c r="Y10">
        <v>1.5</v>
      </c>
    </row>
    <row r="11" spans="1:25" x14ac:dyDescent="0.3">
      <c r="A11" s="2">
        <v>5</v>
      </c>
      <c r="B11" s="2">
        <v>15</v>
      </c>
      <c r="C11" s="2">
        <v>20</v>
      </c>
      <c r="D11" s="2">
        <v>20</v>
      </c>
      <c r="E11" s="2">
        <v>20</v>
      </c>
      <c r="F11" s="2">
        <v>20</v>
      </c>
      <c r="G11" s="2">
        <v>20</v>
      </c>
      <c r="H11" s="2">
        <v>2</v>
      </c>
      <c r="I11" s="2">
        <v>30</v>
      </c>
      <c r="J11" s="2">
        <v>30</v>
      </c>
      <c r="K11" s="2">
        <v>30</v>
      </c>
      <c r="L11" s="2">
        <v>30</v>
      </c>
      <c r="M11" t="s">
        <v>37</v>
      </c>
      <c r="N11" cm="1">
        <f t="array" ref="N11:Y11">IF(M11="Ascendente",_xlfn._xlws.SORT(A11:L11,1,1,TRUE),_xlfn._xlws.SORT(A11:L11,1,-1,TRUE))</f>
        <v>30</v>
      </c>
      <c r="O11">
        <v>30</v>
      </c>
      <c r="P11">
        <v>30</v>
      </c>
      <c r="Q11">
        <v>30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15</v>
      </c>
      <c r="X11">
        <v>5</v>
      </c>
      <c r="Y11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8FF5-D6D7-44D0-936A-75EB5C3EAC7A}">
  <dimension ref="A1:D17"/>
  <sheetViews>
    <sheetView tabSelected="1" workbookViewId="0"/>
  </sheetViews>
  <sheetFormatPr defaultRowHeight="14.4" x14ac:dyDescent="0.3"/>
  <cols>
    <col min="1" max="1" width="23.33203125" bestFit="1" customWidth="1"/>
    <col min="3" max="3" width="26.88671875" bestFit="1" customWidth="1"/>
    <col min="4" max="4" width="14" bestFit="1" customWidth="1"/>
  </cols>
  <sheetData>
    <row r="1" spans="1:4" ht="15.6" x14ac:dyDescent="0.3">
      <c r="A1" s="10" t="s">
        <v>45</v>
      </c>
      <c r="B1" s="12" t="s">
        <v>53</v>
      </c>
      <c r="C1" s="12" t="s">
        <v>54</v>
      </c>
      <c r="D1" s="12" t="s">
        <v>55</v>
      </c>
    </row>
    <row r="2" spans="1:4" x14ac:dyDescent="0.3">
      <c r="A2" s="7">
        <v>16.45</v>
      </c>
      <c r="B2" s="2" t="s">
        <v>51</v>
      </c>
      <c r="C2" s="2">
        <v>0</v>
      </c>
      <c r="D2" t="str">
        <f>IF(C2&gt;A2,IF(B2="Cap","Ind","Cap"),B2)</f>
        <v>Cap</v>
      </c>
    </row>
    <row r="3" spans="1:4" x14ac:dyDescent="0.3">
      <c r="A3" s="7">
        <v>11.1</v>
      </c>
      <c r="B3" s="2" t="s">
        <v>51</v>
      </c>
      <c r="C3" s="2">
        <v>30</v>
      </c>
      <c r="D3" t="str">
        <f t="shared" ref="D3:D5" si="0">IF(C3&gt;A3,IF(B3="Cap","Ind","Cap"),B3)</f>
        <v>Ind</v>
      </c>
    </row>
    <row r="4" spans="1:4" x14ac:dyDescent="0.3">
      <c r="A4" s="7">
        <v>12.6</v>
      </c>
      <c r="B4" s="2" t="s">
        <v>51</v>
      </c>
      <c r="C4" s="2">
        <v>30</v>
      </c>
      <c r="D4" t="str">
        <f t="shared" si="0"/>
        <v>Ind</v>
      </c>
    </row>
    <row r="5" spans="1:4" x14ac:dyDescent="0.3">
      <c r="A5" s="7">
        <v>11.2</v>
      </c>
      <c r="B5" s="2" t="s">
        <v>52</v>
      </c>
      <c r="C5" s="2">
        <v>30</v>
      </c>
      <c r="D5" t="str">
        <f t="shared" si="0"/>
        <v>Cap</v>
      </c>
    </row>
    <row r="6" spans="1:4" x14ac:dyDescent="0.3">
      <c r="A6" s="7"/>
    </row>
    <row r="7" spans="1:4" x14ac:dyDescent="0.3">
      <c r="A7" s="7"/>
    </row>
    <row r="8" spans="1:4" x14ac:dyDescent="0.3">
      <c r="A8" s="7"/>
    </row>
    <row r="9" spans="1:4" x14ac:dyDescent="0.3">
      <c r="A9" s="2"/>
    </row>
    <row r="10" spans="1:4" x14ac:dyDescent="0.3">
      <c r="A10" s="2"/>
    </row>
    <row r="11" spans="1:4" x14ac:dyDescent="0.3">
      <c r="A11" s="2"/>
    </row>
    <row r="12" spans="1:4" x14ac:dyDescent="0.3">
      <c r="A12" s="2"/>
    </row>
    <row r="14" spans="1:4" x14ac:dyDescent="0.3">
      <c r="A14" s="7"/>
    </row>
    <row r="15" spans="1:4" x14ac:dyDescent="0.3">
      <c r="A15" s="7"/>
    </row>
    <row r="16" spans="1:4" x14ac:dyDescent="0.3">
      <c r="A16" s="7"/>
    </row>
    <row r="17" spans="1:1" x14ac:dyDescent="0.3">
      <c r="A17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99D4-57A8-4784-8D0F-0E6E284F108B}">
  <dimension ref="A1:G2"/>
  <sheetViews>
    <sheetView workbookViewId="0"/>
  </sheetViews>
  <sheetFormatPr defaultRowHeight="14.4" x14ac:dyDescent="0.3"/>
  <cols>
    <col min="1" max="2" width="15.88671875" bestFit="1" customWidth="1"/>
    <col min="3" max="3" width="24.5546875" bestFit="1" customWidth="1"/>
    <col min="4" max="4" width="25.6640625" bestFit="1" customWidth="1"/>
    <col min="5" max="5" width="12" bestFit="1" customWidth="1"/>
    <col min="6" max="6" width="11.109375" bestFit="1" customWidth="1"/>
    <col min="7" max="7" width="12.109375" bestFit="1" customWidth="1"/>
  </cols>
  <sheetData>
    <row r="1" spans="1:7" ht="15.6" x14ac:dyDescent="0.3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</row>
    <row r="2" spans="1:7" x14ac:dyDescent="0.3">
      <c r="A2" s="6">
        <v>44835.270833333336</v>
      </c>
      <c r="B2" s="6">
        <v>44835.281238425923</v>
      </c>
      <c r="C2" s="7">
        <v>-4.1292200000000001</v>
      </c>
      <c r="D2" s="8">
        <v>8.9656599999999997</v>
      </c>
      <c r="E2" s="8">
        <f t="shared" ref="E2" si="0">IF(AND(ISNUMBER(C2),ISNUMBER(D2)),SQRT((D2^2)-(C2^2))/D2,"")</f>
        <v>0.88762882745360561</v>
      </c>
      <c r="F2" s="9" t="str">
        <f t="shared" ref="F2" si="1">IF(AND(ISNUMBER(C2),C2&lt;0),"Cap",IF(AND(ISNUMBER(C2),C2&gt;=0),"Ind",""))</f>
        <v>Cap</v>
      </c>
      <c r="G2" s="2">
        <v>0.92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93BB-83C2-4798-9674-B5F19E88E9F8}">
  <dimension ref="A1:B12"/>
  <sheetViews>
    <sheetView workbookViewId="0">
      <selection activeCell="F1" sqref="F1"/>
    </sheetView>
  </sheetViews>
  <sheetFormatPr defaultRowHeight="14.4" x14ac:dyDescent="0.3"/>
  <sheetData>
    <row r="1" spans="1:2" x14ac:dyDescent="0.3">
      <c r="A1" s="2">
        <v>5</v>
      </c>
      <c r="B1" s="2"/>
    </row>
    <row r="2" spans="1:2" x14ac:dyDescent="0.3">
      <c r="A2" s="2">
        <v>15</v>
      </c>
    </row>
    <row r="3" spans="1:2" x14ac:dyDescent="0.3">
      <c r="A3" s="2">
        <v>20</v>
      </c>
    </row>
    <row r="4" spans="1:2" x14ac:dyDescent="0.3">
      <c r="A4" s="2">
        <v>20</v>
      </c>
    </row>
    <row r="5" spans="1:2" x14ac:dyDescent="0.3">
      <c r="A5" s="2">
        <v>20</v>
      </c>
    </row>
    <row r="6" spans="1:2" x14ac:dyDescent="0.3">
      <c r="A6" s="2">
        <v>20</v>
      </c>
    </row>
    <row r="7" spans="1:2" x14ac:dyDescent="0.3">
      <c r="A7" s="2">
        <v>20</v>
      </c>
    </row>
    <row r="8" spans="1:2" x14ac:dyDescent="0.3">
      <c r="A8" s="2">
        <v>30</v>
      </c>
    </row>
    <row r="9" spans="1:2" x14ac:dyDescent="0.3">
      <c r="A9" s="2">
        <v>30</v>
      </c>
    </row>
    <row r="10" spans="1:2" x14ac:dyDescent="0.3">
      <c r="A10" s="2">
        <v>30</v>
      </c>
    </row>
    <row r="11" spans="1:2" x14ac:dyDescent="0.3">
      <c r="A11" s="2">
        <v>1</v>
      </c>
    </row>
    <row r="12" spans="1:2" x14ac:dyDescent="0.3">
      <c r="A12" s="2">
        <v>2.5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CalcularPotenciaAtiva</vt:lpstr>
      <vt:lpstr>CalcularCk</vt:lpstr>
      <vt:lpstr>QcNecessario</vt:lpstr>
      <vt:lpstr>SomarCapacitores</vt:lpstr>
      <vt:lpstr>RecalcularFp</vt:lpstr>
      <vt:lpstr>OrdenarEstagiosPorPotencia</vt:lpstr>
      <vt:lpstr>VerificarTipoReativoFpCorrigido</vt:lpstr>
      <vt:lpstr>CompensacaoSequencialAscendente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Elias Gobbi</dc:creator>
  <cp:lastModifiedBy>Renan Elias Gobbi</cp:lastModifiedBy>
  <dcterms:created xsi:type="dcterms:W3CDTF">2024-02-17T21:56:48Z</dcterms:created>
  <dcterms:modified xsi:type="dcterms:W3CDTF">2024-02-24T13:31:46Z</dcterms:modified>
</cp:coreProperties>
</file>